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\python\Solar_Irradiance_CU\src\"/>
    </mc:Choice>
  </mc:AlternateContent>
  <xr:revisionPtr revIDLastSave="0" documentId="13_ncr:1_{CA27D55A-D5F8-45CF-9C1C-5CDFB131F2D3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Baja Californ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Sv4INnREjXvpLM5MjAA65z+7vIQbJgj/T1y7Pdrwyw="/>
    </ext>
  </extLst>
</workbook>
</file>

<file path=xl/calcChain.xml><?xml version="1.0" encoding="utf-8"?>
<calcChain xmlns="http://schemas.openxmlformats.org/spreadsheetml/2006/main">
  <c r="F5" i="1" l="1"/>
  <c r="F4" i="1"/>
  <c r="F6" i="1"/>
  <c r="F3" i="1"/>
  <c r="G4" i="1"/>
  <c r="G5" i="1"/>
  <c r="G6" i="1"/>
  <c r="G3" i="1"/>
  <c r="C7" i="1"/>
  <c r="C8" i="1"/>
  <c r="C9" i="1"/>
  <c r="C10" i="1"/>
  <c r="H4" i="1" l="1"/>
  <c r="B30" i="1" s="1"/>
  <c r="B34" i="1" s="1"/>
  <c r="C34" i="1" s="1"/>
  <c r="G34" i="1"/>
  <c r="H5" i="1"/>
  <c r="B47" i="1" s="1"/>
  <c r="B48" i="1" s="1"/>
  <c r="G51" i="1"/>
  <c r="H6" i="1"/>
  <c r="B64" i="1" s="1"/>
  <c r="B68" i="1" s="1"/>
  <c r="D68" i="1" s="1"/>
  <c r="G68" i="1"/>
  <c r="G17" i="1"/>
  <c r="H3" i="1"/>
  <c r="B13" i="1" s="1"/>
  <c r="D34" i="1"/>
  <c r="B31" i="1"/>
  <c r="B35" i="1" s="1"/>
  <c r="C35" i="1" s="1"/>
  <c r="C68" i="1"/>
  <c r="B51" i="1" l="1"/>
  <c r="D51" i="1" s="1"/>
  <c r="E51" i="1" s="1"/>
  <c r="F51" i="1" s="1"/>
  <c r="C51" i="1"/>
  <c r="B65" i="1"/>
  <c r="B69" i="1" s="1"/>
  <c r="C69" i="1" s="1"/>
  <c r="B17" i="1"/>
  <c r="B14" i="1"/>
  <c r="E68" i="1"/>
  <c r="F68" i="1" s="1"/>
  <c r="E34" i="1"/>
  <c r="F34" i="1" s="1"/>
  <c r="B36" i="1"/>
  <c r="C36" i="1" s="1"/>
  <c r="D35" i="1"/>
  <c r="D69" i="1"/>
  <c r="B70" i="1"/>
  <c r="D36" i="1" l="1"/>
  <c r="E36" i="1" s="1"/>
  <c r="F36" i="1" s="1"/>
  <c r="B37" i="1"/>
  <c r="B18" i="1"/>
  <c r="B52" i="1"/>
  <c r="E35" i="1"/>
  <c r="F35" i="1" s="1"/>
  <c r="E69" i="1"/>
  <c r="F69" i="1" s="1"/>
  <c r="D17" i="1"/>
  <c r="C17" i="1"/>
  <c r="B71" i="1"/>
  <c r="C70" i="1"/>
  <c r="D70" i="1"/>
  <c r="E70" i="1" s="1"/>
  <c r="F70" i="1" s="1"/>
  <c r="B38" i="1"/>
  <c r="C37" i="1"/>
  <c r="D37" i="1"/>
  <c r="E37" i="1" s="1"/>
  <c r="F37" i="1" s="1"/>
  <c r="B19" i="1" l="1"/>
  <c r="D18" i="1"/>
  <c r="E18" i="1" s="1"/>
  <c r="F18" i="1" s="1"/>
  <c r="C18" i="1"/>
  <c r="D52" i="1"/>
  <c r="E52" i="1" s="1"/>
  <c r="F52" i="1" s="1"/>
  <c r="B53" i="1"/>
  <c r="C52" i="1"/>
  <c r="E17" i="1"/>
  <c r="F17" i="1" s="1"/>
  <c r="C71" i="1"/>
  <c r="B72" i="1"/>
  <c r="D71" i="1"/>
  <c r="C38" i="1"/>
  <c r="B39" i="1"/>
  <c r="D38" i="1"/>
  <c r="E38" i="1" s="1"/>
  <c r="F38" i="1" s="1"/>
  <c r="D19" i="1" l="1"/>
  <c r="E19" i="1" s="1"/>
  <c r="F19" i="1" s="1"/>
  <c r="C19" i="1"/>
  <c r="B20" i="1"/>
  <c r="C53" i="1"/>
  <c r="B54" i="1"/>
  <c r="D53" i="1"/>
  <c r="E53" i="1" s="1"/>
  <c r="F53" i="1" s="1"/>
  <c r="E71" i="1"/>
  <c r="F71" i="1" s="1"/>
  <c r="C72" i="1"/>
  <c r="B73" i="1"/>
  <c r="D72" i="1"/>
  <c r="D39" i="1"/>
  <c r="E39" i="1" s="1"/>
  <c r="F39" i="1" s="1"/>
  <c r="C39" i="1"/>
  <c r="B40" i="1"/>
  <c r="C20" i="1" l="1"/>
  <c r="B21" i="1"/>
  <c r="D20" i="1"/>
  <c r="E20" i="1" s="1"/>
  <c r="F20" i="1" s="1"/>
  <c r="C54" i="1"/>
  <c r="D54" i="1"/>
  <c r="E54" i="1" s="1"/>
  <c r="F54" i="1" s="1"/>
  <c r="B55" i="1"/>
  <c r="E72" i="1"/>
  <c r="F72" i="1" s="1"/>
  <c r="C73" i="1"/>
  <c r="B74" i="1"/>
  <c r="D73" i="1"/>
  <c r="C40" i="1"/>
  <c r="D40" i="1"/>
  <c r="E40" i="1" s="1"/>
  <c r="F40" i="1" s="1"/>
  <c r="B41" i="1"/>
  <c r="D21" i="1" l="1"/>
  <c r="E21" i="1" s="1"/>
  <c r="F21" i="1" s="1"/>
  <c r="B22" i="1"/>
  <c r="C21" i="1"/>
  <c r="D55" i="1"/>
  <c r="E55" i="1" s="1"/>
  <c r="F55" i="1" s="1"/>
  <c r="B56" i="1"/>
  <c r="C55" i="1"/>
  <c r="E73" i="1"/>
  <c r="F73" i="1" s="1"/>
  <c r="B75" i="1"/>
  <c r="D74" i="1"/>
  <c r="C74" i="1"/>
  <c r="D41" i="1"/>
  <c r="E41" i="1" s="1"/>
  <c r="F41" i="1" s="1"/>
  <c r="B42" i="1"/>
  <c r="C41" i="1"/>
  <c r="B23" i="1" l="1"/>
  <c r="D22" i="1"/>
  <c r="E22" i="1" s="1"/>
  <c r="F22" i="1" s="1"/>
  <c r="C22" i="1"/>
  <c r="B57" i="1"/>
  <c r="C56" i="1"/>
  <c r="D56" i="1"/>
  <c r="E56" i="1" s="1"/>
  <c r="F56" i="1" s="1"/>
  <c r="E74" i="1"/>
  <c r="F74" i="1" s="1"/>
  <c r="D75" i="1"/>
  <c r="B76" i="1"/>
  <c r="C75" i="1"/>
  <c r="C42" i="1"/>
  <c r="D42" i="1"/>
  <c r="E42" i="1" s="1"/>
  <c r="F42" i="1" s="1"/>
  <c r="B43" i="1"/>
  <c r="C23" i="1" l="1"/>
  <c r="D23" i="1"/>
  <c r="E23" i="1" s="1"/>
  <c r="F23" i="1" s="1"/>
  <c r="B24" i="1"/>
  <c r="C57" i="1"/>
  <c r="B58" i="1"/>
  <c r="D57" i="1"/>
  <c r="E57" i="1" s="1"/>
  <c r="F57" i="1" s="1"/>
  <c r="E75" i="1"/>
  <c r="F75" i="1" s="1"/>
  <c r="D76" i="1"/>
  <c r="E76" i="1" s="1"/>
  <c r="F76" i="1" s="1"/>
  <c r="C76" i="1"/>
  <c r="B77" i="1"/>
  <c r="D43" i="1"/>
  <c r="E43" i="1" s="1"/>
  <c r="F43" i="1" s="1"/>
  <c r="B44" i="1"/>
  <c r="C43" i="1"/>
  <c r="B25" i="1" l="1"/>
  <c r="D24" i="1"/>
  <c r="E24" i="1" s="1"/>
  <c r="F24" i="1" s="1"/>
  <c r="C24" i="1"/>
  <c r="B59" i="1"/>
  <c r="D58" i="1"/>
  <c r="E58" i="1" s="1"/>
  <c r="F58" i="1" s="1"/>
  <c r="C58" i="1"/>
  <c r="D77" i="1"/>
  <c r="C77" i="1"/>
  <c r="B78" i="1"/>
  <c r="C44" i="1"/>
  <c r="D44" i="1"/>
  <c r="E44" i="1" s="1"/>
  <c r="F44" i="1" s="1"/>
  <c r="B45" i="1"/>
  <c r="D25" i="1" l="1"/>
  <c r="E25" i="1" s="1"/>
  <c r="F25" i="1" s="1"/>
  <c r="B26" i="1"/>
  <c r="C25" i="1"/>
  <c r="D59" i="1"/>
  <c r="E59" i="1" s="1"/>
  <c r="F59" i="1" s="1"/>
  <c r="B60" i="1"/>
  <c r="C59" i="1"/>
  <c r="E77" i="1"/>
  <c r="F77" i="1" s="1"/>
  <c r="C78" i="1"/>
  <c r="B79" i="1"/>
  <c r="D78" i="1"/>
  <c r="C45" i="1"/>
  <c r="D45" i="1"/>
  <c r="E45" i="1" s="1"/>
  <c r="F45" i="1" s="1"/>
  <c r="B27" i="1" l="1"/>
  <c r="C26" i="1"/>
  <c r="D26" i="1"/>
  <c r="E26" i="1" s="1"/>
  <c r="F26" i="1" s="1"/>
  <c r="D60" i="1"/>
  <c r="E60" i="1" s="1"/>
  <c r="F60" i="1" s="1"/>
  <c r="B61" i="1"/>
  <c r="C60" i="1"/>
  <c r="E78" i="1"/>
  <c r="F78" i="1" s="1"/>
  <c r="C79" i="1"/>
  <c r="D79" i="1"/>
  <c r="C27" i="1" l="1"/>
  <c r="D27" i="1"/>
  <c r="E27" i="1" s="1"/>
  <c r="F27" i="1" s="1"/>
  <c r="B28" i="1"/>
  <c r="C61" i="1"/>
  <c r="B62" i="1"/>
  <c r="D61" i="1"/>
  <c r="E61" i="1" s="1"/>
  <c r="F61" i="1" s="1"/>
  <c r="E79" i="1"/>
  <c r="F79" i="1" s="1"/>
  <c r="C28" i="1" l="1"/>
  <c r="D28" i="1"/>
  <c r="E28" i="1" s="1"/>
  <c r="F28" i="1" s="1"/>
  <c r="C62" i="1"/>
  <c r="D62" i="1"/>
  <c r="E62" i="1" s="1"/>
  <c r="F62" i="1" s="1"/>
</calcChain>
</file>

<file path=xl/sharedStrings.xml><?xml version="1.0" encoding="utf-8"?>
<sst xmlns="http://schemas.openxmlformats.org/spreadsheetml/2006/main" count="71" uniqueCount="43">
  <si>
    <t>Estación</t>
  </si>
  <si>
    <t>Sitio</t>
  </si>
  <si>
    <t>Primavera (Equinoccio)</t>
  </si>
  <si>
    <t>Verano (Solsticio)</t>
  </si>
  <si>
    <t>Otoño (Equinoccio)</t>
  </si>
  <si>
    <t>Invierno (Solsticio)</t>
  </si>
  <si>
    <t>1 hora =</t>
  </si>
  <si>
    <t>Ángulo (hs)</t>
  </si>
  <si>
    <t>PRIMAVERA</t>
  </si>
  <si>
    <t>Intervalo (t)</t>
  </si>
  <si>
    <t>Puntos</t>
  </si>
  <si>
    <t>Hora Decimal</t>
  </si>
  <si>
    <t>Hora</t>
  </si>
  <si>
    <t>Ángulo horario</t>
  </si>
  <si>
    <t>Altura solar</t>
  </si>
  <si>
    <t>Azimut</t>
  </si>
  <si>
    <t>Altura máx</t>
  </si>
  <si>
    <t>VERANO</t>
  </si>
  <si>
    <t>OTOÑO</t>
  </si>
  <si>
    <t>INVIERNO</t>
  </si>
  <si>
    <t>INFORMACIÓN DEL SITIO</t>
  </si>
  <si>
    <t>Latitud (°N)</t>
  </si>
  <si>
    <t>DECLINACIÓN SOLAR POR ESTACIÓN</t>
  </si>
  <si>
    <t>Fecha</t>
  </si>
  <si>
    <t>δ (°)</t>
  </si>
  <si>
    <t>21-dic</t>
  </si>
  <si>
    <t>ÁNGULOS HORARIOS AL AMANECER</t>
  </si>
  <si>
    <t>L (°)</t>
  </si>
  <si>
    <t>hs (°)</t>
  </si>
  <si>
    <t>Primavera</t>
  </si>
  <si>
    <t>Verano</t>
  </si>
  <si>
    <t>Otoño</t>
  </si>
  <si>
    <t>Invierno</t>
  </si>
  <si>
    <t>CONSTANTES</t>
  </si>
  <si>
    <t>15°</t>
  </si>
  <si>
    <t>Medio día =</t>
  </si>
  <si>
    <t>12 h</t>
  </si>
  <si>
    <t>LEYENDA</t>
  </si>
  <si>
    <t>Entrada manual</t>
  </si>
  <si>
    <t>Cálculo automático</t>
  </si>
  <si>
    <t>n (día)</t>
  </si>
  <si>
    <t>Ciudad Universitaria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</si>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</sst>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rgb="FFFFFFFF"/>
      <name val="Aptos Narrow"/>
    </font>
    <font>
      <b/>
      <i/>
      <sz val="11"/>
      <color rgb="FFFFFFFF"/>
      <name val="Aptos Narrow"/>
    </font>
    <font>
      <b/>
      <sz val="11"/>
      <color rgb="FFFFFFFF"/>
      <name val="Aptos Narrow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3" borderId="0" xfId="0" applyFill="1"/>
    <xf numFmtId="0" fontId="0" fillId="5" borderId="0" xfId="0" applyFill="1"/>
    <xf numFmtId="0" fontId="4" fillId="2" borderId="2" xfId="0" applyFont="1" applyFill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0" fillId="3" borderId="2" xfId="0" applyFill="1" applyBorder="1"/>
    <xf numFmtId="0" fontId="5" fillId="4" borderId="2" xfId="0" applyFont="1" applyFill="1" applyBorder="1" applyAlignment="1">
      <alignment horizontal="center"/>
    </xf>
    <xf numFmtId="0" fontId="0" fillId="0" borderId="2" xfId="0" applyBorder="1"/>
    <xf numFmtId="16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0" xfId="0" applyFont="1" applyFill="1"/>
    <xf numFmtId="164" fontId="1" fillId="6" borderId="1" xfId="0" applyNumberFormat="1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/>
    <xf numFmtId="2" fontId="1" fillId="6" borderId="1" xfId="0" applyNumberFormat="1" applyFont="1" applyFill="1" applyBorder="1"/>
    <xf numFmtId="0" fontId="1" fillId="3" borderId="3" xfId="0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6" fontId="1" fillId="6" borderId="3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/>
    <xf numFmtId="0" fontId="2" fillId="2" borderId="4" xfId="0" applyFont="1" applyFill="1" applyBorder="1" applyAlignment="1">
      <alignment horizontal="center" vertical="center"/>
    </xf>
    <xf numFmtId="1" fontId="1" fillId="6" borderId="4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2" fillId="2" borderId="0" xfId="0" applyFont="1" applyFill="1"/>
    <xf numFmtId="2" fontId="0" fillId="6" borderId="0" xfId="0" applyNumberFormat="1" applyFill="1"/>
    <xf numFmtId="1" fontId="0" fillId="6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12" Type="http://schemas.microsoft.com/office/2017/10/relationships/person" Target="persons/perso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333375</xdr:colOff>
      <xdr:row>11</xdr:row>
      <xdr:rowOff>0</xdr:rowOff>
    </xdr:from>
    <xdr:ext cx="2743200" cy="2571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11</xdr:row>
      <xdr:rowOff>0</xdr:rowOff>
    </xdr:from>
    <xdr:ext cx="4133850" cy="952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11</xdr:row>
      <xdr:rowOff>0</xdr:rowOff>
    </xdr:from>
    <xdr:ext cx="4781550" cy="25717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1"/>
  <sheetViews>
    <sheetView tabSelected="1" workbookViewId="0">
      <selection activeCell="H23" sqref="H23"/>
    </sheetView>
  </sheetViews>
  <sheetFormatPr baseColWidth="10" defaultColWidth="12.6640625" defaultRowHeight="15" customHeight="1" x14ac:dyDescent="0.3"/>
  <cols>
    <col min="1" max="1" width="31.44140625" customWidth="1"/>
    <col min="2" max="2" width="24.109375" customWidth="1"/>
    <col min="3" max="3" width="11.109375" customWidth="1"/>
    <col min="4" max="4" width="13.6640625" customWidth="1"/>
    <col min="5" max="5" width="20.33203125" customWidth="1"/>
    <col min="6" max="8" width="11.109375" customWidth="1"/>
    <col min="9" max="9" width="23.109375" customWidth="1"/>
    <col min="10" max="10" width="13.44140625" customWidth="1"/>
    <col min="11" max="11" width="6.109375" customWidth="1"/>
    <col min="12" max="26" width="10.6640625" customWidth="1"/>
  </cols>
  <sheetData>
    <row r="1" spans="1:8" ht="14.25" customHeight="1" x14ac:dyDescent="0.3">
      <c r="A1" s="10" t="s">
        <v>20</v>
      </c>
      <c r="B1" s="11"/>
      <c r="E1" s="10" t="s">
        <v>26</v>
      </c>
      <c r="F1" s="11"/>
      <c r="G1" s="11"/>
      <c r="H1" s="11"/>
    </row>
    <row r="2" spans="1:8" ht="14.25" customHeight="1" x14ac:dyDescent="0.3">
      <c r="A2" s="12" t="s">
        <v>1</v>
      </c>
      <c r="B2" s="13" t="s">
        <v>41</v>
      </c>
      <c r="E2" s="14" t="s">
        <v>0</v>
      </c>
      <c r="F2" s="14" t="s">
        <v>24</v>
      </c>
      <c r="G2" s="14" t="s">
        <v>27</v>
      </c>
      <c r="H2" s="14" t="s">
        <v>28</v>
      </c>
    </row>
    <row r="3" spans="1:8" ht="14.25" customHeight="1" x14ac:dyDescent="0.3">
      <c r="A3" s="12" t="s">
        <v>21</v>
      </c>
      <c r="B3" s="17">
        <v>19.32</v>
      </c>
      <c r="C3" t="s">
        <v>42</v>
      </c>
      <c r="E3" s="18" t="s">
        <v>29</v>
      </c>
      <c r="F3" s="24">
        <f>23.45 * COS( RADIANS( 360 / 365 * (C7 - 173) ) )</f>
        <v>-0.70632114865999529</v>
      </c>
      <c r="G3" s="24">
        <f>$B$3</f>
        <v>19.32</v>
      </c>
      <c r="H3" s="24">
        <f>DEGREES(ACOS(-TAN(RADIANS(G3))*TAN(RADIANS(F3))))</f>
        <v>89.752359712938059</v>
      </c>
    </row>
    <row r="4" spans="1:8" ht="14.25" customHeight="1" x14ac:dyDescent="0.3">
      <c r="E4" s="18" t="s">
        <v>30</v>
      </c>
      <c r="F4" s="24">
        <f t="shared" ref="F4:F6" si="0">23.45 * COS( RADIANS( 360 / 365 * (C8 - 173) ) )</f>
        <v>23.446525629453774</v>
      </c>
      <c r="G4" s="24">
        <f t="shared" ref="G4:G6" si="1">$B$3</f>
        <v>19.32</v>
      </c>
      <c r="H4" s="24">
        <f t="shared" ref="H4:H6" si="2">DEGREES(ACOS(-TAN(RADIANS(G4))*TAN(RADIANS(F4))))</f>
        <v>98.745782456721074</v>
      </c>
    </row>
    <row r="5" spans="1:8" ht="14.25" customHeight="1" x14ac:dyDescent="0.3">
      <c r="A5" s="10" t="s">
        <v>22</v>
      </c>
      <c r="B5" s="11"/>
      <c r="C5" s="11"/>
      <c r="E5" s="18" t="s">
        <v>31</v>
      </c>
      <c r="F5" s="24">
        <f>23.45 * COS( RADIANS( 360 / 365 * (C9 - 173) ) )</f>
        <v>-0.30274644295895681</v>
      </c>
      <c r="G5" s="24">
        <f t="shared" si="1"/>
        <v>19.32</v>
      </c>
      <c r="H5" s="24">
        <f t="shared" si="2"/>
        <v>89.893860001976222</v>
      </c>
    </row>
    <row r="6" spans="1:8" ht="14.25" customHeight="1" x14ac:dyDescent="0.3">
      <c r="A6" s="14" t="s">
        <v>0</v>
      </c>
      <c r="B6" s="14" t="s">
        <v>23</v>
      </c>
      <c r="C6" s="14" t="s">
        <v>40</v>
      </c>
      <c r="E6" s="18" t="s">
        <v>32</v>
      </c>
      <c r="F6" s="24">
        <f t="shared" si="0"/>
        <v>-23.449131391276428</v>
      </c>
      <c r="G6" s="24">
        <f t="shared" si="1"/>
        <v>19.32</v>
      </c>
      <c r="H6" s="24">
        <f t="shared" si="2"/>
        <v>81.253119368894346</v>
      </c>
    </row>
    <row r="7" spans="1:8" ht="14.25" customHeight="1" x14ac:dyDescent="0.3">
      <c r="A7" s="15" t="s">
        <v>2</v>
      </c>
      <c r="B7" s="16">
        <v>46102</v>
      </c>
      <c r="C7" s="34">
        <f>B7-DATE(YEAR(B7),1,0)</f>
        <v>80</v>
      </c>
    </row>
    <row r="8" spans="1:8" ht="14.25" customHeight="1" x14ac:dyDescent="0.3">
      <c r="A8" s="15" t="s">
        <v>3</v>
      </c>
      <c r="B8" s="16">
        <v>46194</v>
      </c>
      <c r="C8" s="34">
        <f>B8-DATE(YEAR(B8),1,0)</f>
        <v>172</v>
      </c>
      <c r="E8" s="10" t="s">
        <v>33</v>
      </c>
      <c r="F8" s="19"/>
    </row>
    <row r="9" spans="1:8" ht="14.25" customHeight="1" x14ac:dyDescent="0.3">
      <c r="A9" s="15" t="s">
        <v>4</v>
      </c>
      <c r="B9" s="16">
        <v>46287</v>
      </c>
      <c r="C9" s="34">
        <f>B9-DATE(YEAR(B9),1,0)</f>
        <v>265</v>
      </c>
      <c r="E9" s="18" t="s">
        <v>6</v>
      </c>
      <c r="F9" s="18" t="s">
        <v>34</v>
      </c>
    </row>
    <row r="10" spans="1:8" ht="14.25" customHeight="1" x14ac:dyDescent="0.3">
      <c r="A10" s="15" t="s">
        <v>5</v>
      </c>
      <c r="B10" s="17" t="s">
        <v>25</v>
      </c>
      <c r="C10" s="34">
        <f>B10-DATE(YEAR(B10),1,0)</f>
        <v>355</v>
      </c>
      <c r="E10" s="18" t="s">
        <v>35</v>
      </c>
      <c r="F10" s="18" t="s">
        <v>36</v>
      </c>
    </row>
    <row r="11" spans="1:8" ht="14.25" customHeight="1" x14ac:dyDescent="0.3"/>
    <row r="12" spans="1:8" ht="14.25" customHeight="1" x14ac:dyDescent="0.3">
      <c r="E12" s="7" t="s">
        <v>37</v>
      </c>
    </row>
    <row r="13" spans="1:8" ht="14.25" customHeight="1" x14ac:dyDescent="0.3">
      <c r="A13" s="20" t="s">
        <v>7</v>
      </c>
      <c r="B13" s="33">
        <f>$H$3</f>
        <v>89.752359712938059</v>
      </c>
      <c r="C13" s="20" t="s">
        <v>8</v>
      </c>
      <c r="E13" t="s">
        <v>38</v>
      </c>
      <c r="F13" s="8"/>
    </row>
    <row r="14" spans="1:8" ht="14.25" customHeight="1" x14ac:dyDescent="0.3">
      <c r="A14" s="20" t="s">
        <v>9</v>
      </c>
      <c r="B14" s="33">
        <f>(2*B13/15)/11</f>
        <v>1.0879073904598553</v>
      </c>
      <c r="E14" t="s">
        <v>39</v>
      </c>
      <c r="F14" s="9"/>
    </row>
    <row r="15" spans="1:8" ht="14.25" customHeight="1" x14ac:dyDescent="0.3"/>
    <row r="16" spans="1:8" ht="14.25" customHeight="1" x14ac:dyDescent="0.3">
      <c r="A16" s="4" t="s">
        <v>10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15</v>
      </c>
      <c r="G16" s="29" t="s">
        <v>16</v>
      </c>
    </row>
    <row r="17" spans="1:9" ht="14.25" customHeight="1" x14ac:dyDescent="0.3">
      <c r="A17" s="5">
        <v>1</v>
      </c>
      <c r="B17" s="21">
        <f>12-($B$13/15)</f>
        <v>6.0165093524707958</v>
      </c>
      <c r="C17" s="22" t="str">
        <f>TEXT(B17/24,"hh:mm")</f>
        <v>06:00</v>
      </c>
      <c r="D17" s="23">
        <f>(B17-12)*15</f>
        <v>-89.752359712938059</v>
      </c>
      <c r="E17" s="24">
        <f>DEGREES(ASIN(COS(RADIANS($F$3))*COS(RADIANS($G$3))*COS(RADIANS(D17))+SIN(RADIANS($F$3))*SIN(RADIANS($G$3))))</f>
        <v>4.4726550208080702E-15</v>
      </c>
      <c r="F17" s="23">
        <f>DEGREES(ACOS((SIN(RADIANS($F$3))-SIN(RADIANS($B$3))*SIN(RADIANS(E17)))/(COS(RADIANS($B$3))*COS(RADIANS(E17)))))</f>
        <v>90.748473226120851</v>
      </c>
      <c r="G17" s="30">
        <f>90-ABS($B$3-$F$3)</f>
        <v>69.973678851339997</v>
      </c>
    </row>
    <row r="18" spans="1:9" ht="14.25" customHeight="1" x14ac:dyDescent="0.3">
      <c r="A18" s="5">
        <v>2</v>
      </c>
      <c r="B18" s="21">
        <f>B17+$B$14</f>
        <v>7.1044167429306508</v>
      </c>
      <c r="C18" s="22" t="str">
        <f>TEXT(B18/24,"hh:mm")</f>
        <v>07:06</v>
      </c>
      <c r="D18" s="23">
        <f>(B18-12)*15</f>
        <v>-73.433748856040239</v>
      </c>
      <c r="E18" s="24">
        <f t="shared" ref="E18:E28" si="3">DEGREES(ASIN(COS(RADIANS($F$3))*COS(RADIANS($G$3))*COS(RADIANS(D18))+SIN(RADIANS($F$3))*SIN(RADIANS($G$3))))</f>
        <v>15.365073754423856</v>
      </c>
      <c r="F18" s="23">
        <f t="shared" ref="F18:F28" si="4">DEGREES(ACOS((SIN(RADIANS($F$3))-SIN(RADIANS($B$3))*SIN(RADIANS(E18)))/(COS(RADIANS($B$3))*COS(RADIANS(E18)))))</f>
        <v>96.30868707319317</v>
      </c>
    </row>
    <row r="19" spans="1:9" ht="14.25" customHeight="1" x14ac:dyDescent="0.3">
      <c r="A19" s="5">
        <v>3</v>
      </c>
      <c r="B19" s="21">
        <f>B18+$B$14</f>
        <v>8.1923241333905068</v>
      </c>
      <c r="C19" s="22" t="str">
        <f>TEXT(B19/24,"hh:mm")</f>
        <v>08:11</v>
      </c>
      <c r="D19" s="23">
        <f>(B19-12)*15</f>
        <v>-57.115137999142398</v>
      </c>
      <c r="E19" s="24">
        <f t="shared" si="3"/>
        <v>30.547942403042903</v>
      </c>
      <c r="F19" s="23">
        <f t="shared" si="4"/>
        <v>102.83094087501593</v>
      </c>
      <c r="I19" s="2"/>
    </row>
    <row r="20" spans="1:9" ht="14.25" customHeight="1" x14ac:dyDescent="0.3">
      <c r="A20" s="5">
        <v>4</v>
      </c>
      <c r="B20" s="21">
        <f>B19+$B$14</f>
        <v>9.2802315238503628</v>
      </c>
      <c r="C20" s="22" t="str">
        <f>TEXT(B20/24,"hh:mm")</f>
        <v>09:16</v>
      </c>
      <c r="D20" s="23">
        <f>(B20-12)*15</f>
        <v>-40.796527142244557</v>
      </c>
      <c r="E20" s="24">
        <f t="shared" si="3"/>
        <v>45.256883339408198</v>
      </c>
      <c r="F20" s="23">
        <f t="shared" si="4"/>
        <v>111.85765747951397</v>
      </c>
    </row>
    <row r="21" spans="1:9" ht="14.25" customHeight="1" x14ac:dyDescent="0.3">
      <c r="A21" s="5">
        <v>5</v>
      </c>
      <c r="B21" s="21">
        <f>B20+$B$14</f>
        <v>10.368138914310219</v>
      </c>
      <c r="C21" s="22" t="str">
        <f>TEXT(B21/24,"hh:mm")</f>
        <v>10:22</v>
      </c>
      <c r="D21" s="23">
        <f>(B21-12)*15</f>
        <v>-24.477916285346719</v>
      </c>
      <c r="E21" s="24">
        <f t="shared" si="3"/>
        <v>58.729297937849985</v>
      </c>
      <c r="F21" s="23">
        <f t="shared" si="4"/>
        <v>127.04517143225985</v>
      </c>
    </row>
    <row r="22" spans="1:9" ht="14.25" customHeight="1" x14ac:dyDescent="0.3">
      <c r="A22" s="5">
        <v>6</v>
      </c>
      <c r="B22" s="21">
        <f>B21+$B$14</f>
        <v>11.456046304770075</v>
      </c>
      <c r="C22" s="22" t="str">
        <f>TEXT(B22/24,"hh:mm")</f>
        <v>11:27</v>
      </c>
      <c r="D22" s="23">
        <f>(B22-12)*15</f>
        <v>-8.1593054284488797</v>
      </c>
      <c r="E22" s="24">
        <f t="shared" si="3"/>
        <v>68.432237803638557</v>
      </c>
      <c r="F22" s="23">
        <f t="shared" si="4"/>
        <v>157.29061636258615</v>
      </c>
    </row>
    <row r="23" spans="1:9" ht="14.25" customHeight="1" x14ac:dyDescent="0.3">
      <c r="A23" s="5">
        <v>7</v>
      </c>
      <c r="B23" s="21">
        <f>B22+$B$14</f>
        <v>12.543953695229931</v>
      </c>
      <c r="C23" s="22" t="str">
        <f>TEXT(B23/24,"hh:mm")</f>
        <v>12:32</v>
      </c>
      <c r="D23" s="23">
        <f>(B23-12)*15</f>
        <v>8.1593054284489597</v>
      </c>
      <c r="E23" s="24">
        <f t="shared" si="3"/>
        <v>68.432237803638543</v>
      </c>
      <c r="F23" s="23">
        <f t="shared" si="4"/>
        <v>157.29061636258604</v>
      </c>
    </row>
    <row r="24" spans="1:9" ht="14.25" customHeight="1" x14ac:dyDescent="0.3">
      <c r="A24" s="5">
        <v>8</v>
      </c>
      <c r="B24" s="21">
        <f>B23+$B$14</f>
        <v>13.631861085689787</v>
      </c>
      <c r="C24" s="22" t="str">
        <f>TEXT(B24/24,"hh:mm")</f>
        <v>13:37</v>
      </c>
      <c r="D24" s="23">
        <f>(B24-12)*15</f>
        <v>24.477916285346801</v>
      </c>
      <c r="E24" s="24">
        <f t="shared" si="3"/>
        <v>58.729297937849921</v>
      </c>
      <c r="F24" s="23">
        <f t="shared" si="4"/>
        <v>127.04517143225972</v>
      </c>
    </row>
    <row r="25" spans="1:9" ht="14.25" customHeight="1" x14ac:dyDescent="0.3">
      <c r="A25" s="5">
        <v>9</v>
      </c>
      <c r="B25" s="21">
        <f>B24+$B$14</f>
        <v>14.719768476149643</v>
      </c>
      <c r="C25" s="22" t="str">
        <f>TEXT(B25/24,"hh:mm")</f>
        <v>14:43</v>
      </c>
      <c r="D25" s="23">
        <f>(B25-12)*15</f>
        <v>40.796527142244642</v>
      </c>
      <c r="E25" s="24">
        <f t="shared" si="3"/>
        <v>45.256883339408127</v>
      </c>
      <c r="F25" s="23">
        <f t="shared" si="4"/>
        <v>111.8576574795139</v>
      </c>
    </row>
    <row r="26" spans="1:9" ht="14.25" customHeight="1" x14ac:dyDescent="0.3">
      <c r="A26" s="5">
        <v>10</v>
      </c>
      <c r="B26" s="21">
        <f>B25+$B$14</f>
        <v>15.807675866609499</v>
      </c>
      <c r="C26" s="22" t="str">
        <f>TEXT(B26/24,"hh:mm")</f>
        <v>15:48</v>
      </c>
      <c r="D26" s="23">
        <f>(B26-12)*15</f>
        <v>57.115137999142476</v>
      </c>
      <c r="E26" s="24">
        <f t="shared" si="3"/>
        <v>30.547942403042821</v>
      </c>
      <c r="F26" s="23">
        <f t="shared" si="4"/>
        <v>102.83094087501587</v>
      </c>
    </row>
    <row r="27" spans="1:9" ht="14.25" customHeight="1" x14ac:dyDescent="0.3">
      <c r="A27" s="5">
        <v>11</v>
      </c>
      <c r="B27" s="21">
        <f>B26+$B$14</f>
        <v>16.895583257069354</v>
      </c>
      <c r="C27" s="22" t="str">
        <f>TEXT(B27/24,"hh:mm")</f>
        <v>16:53</v>
      </c>
      <c r="D27" s="23">
        <f>(B27-12)*15</f>
        <v>73.433748856040324</v>
      </c>
      <c r="E27" s="24">
        <f t="shared" si="3"/>
        <v>15.36507375442377</v>
      </c>
      <c r="F27" s="23">
        <f t="shared" si="4"/>
        <v>96.308687073193155</v>
      </c>
    </row>
    <row r="28" spans="1:9" ht="14.25" customHeight="1" x14ac:dyDescent="0.3">
      <c r="A28" s="25">
        <v>12</v>
      </c>
      <c r="B28" s="26">
        <f>B27+$B$14</f>
        <v>17.983490647529209</v>
      </c>
      <c r="C28" s="27" t="str">
        <f>TEXT(B28/24,"hh:mm")</f>
        <v>17:59</v>
      </c>
      <c r="D28" s="28">
        <f>(B28-12)*15</f>
        <v>89.75235971293813</v>
      </c>
      <c r="E28" s="24">
        <f t="shared" si="3"/>
        <v>-5.5560314591815807E-14</v>
      </c>
      <c r="F28" s="23">
        <f t="shared" si="4"/>
        <v>90.748473226120851</v>
      </c>
    </row>
    <row r="29" spans="1:9" ht="14.25" customHeight="1" x14ac:dyDescent="0.3">
      <c r="C29" s="2"/>
    </row>
    <row r="30" spans="1:9" ht="14.25" customHeight="1" x14ac:dyDescent="0.3">
      <c r="A30" s="6" t="s">
        <v>7</v>
      </c>
      <c r="B30" s="31">
        <f>$H$4</f>
        <v>98.745782456721074</v>
      </c>
      <c r="C30" s="32" t="s">
        <v>17</v>
      </c>
      <c r="D30" s="1"/>
      <c r="E30" s="1"/>
      <c r="F30" s="1"/>
    </row>
    <row r="31" spans="1:9" ht="14.25" customHeight="1" x14ac:dyDescent="0.3">
      <c r="A31" s="3" t="s">
        <v>9</v>
      </c>
      <c r="B31" s="24">
        <f>(2*B30/15)/11</f>
        <v>1.1969185752329827</v>
      </c>
    </row>
    <row r="32" spans="1:9" ht="14.25" customHeight="1" x14ac:dyDescent="0.3"/>
    <row r="33" spans="1:7" ht="14.25" customHeight="1" x14ac:dyDescent="0.3">
      <c r="A33" s="4" t="s">
        <v>10</v>
      </c>
      <c r="B33" s="4" t="s">
        <v>11</v>
      </c>
      <c r="C33" s="4" t="s">
        <v>12</v>
      </c>
      <c r="D33" s="4" t="s">
        <v>13</v>
      </c>
      <c r="E33" s="4" t="s">
        <v>14</v>
      </c>
      <c r="F33" s="4" t="s">
        <v>15</v>
      </c>
      <c r="G33" s="29" t="s">
        <v>16</v>
      </c>
    </row>
    <row r="34" spans="1:7" ht="14.25" customHeight="1" x14ac:dyDescent="0.3">
      <c r="A34" s="5">
        <v>1</v>
      </c>
      <c r="B34" s="21">
        <f>12-($B$30/15)</f>
        <v>5.4169478362185952</v>
      </c>
      <c r="C34" s="22" t="str">
        <f>TEXT(B34/24,"hh:mm")</f>
        <v>05:25</v>
      </c>
      <c r="D34" s="23">
        <f>(B34-12)*15</f>
        <v>-98.745782456721074</v>
      </c>
      <c r="E34" s="24">
        <f>DEGREES(ASIN(COS(RADIANS($B$3))*COS(RADIANS($F$4))*COS(RADIANS(D34))+SIN(RADIANS($B$3))*SIN(RADIANS($F$4))))</f>
        <v>1.5902773407317584E-15</v>
      </c>
      <c r="F34" s="23">
        <f>DEGREES(ACOS((SIN(RADIANS($F$4))-SIN(RADIANS($B$3))*SIN(RADIANS(E34)))/(COS(RADIANS($B$3))*COS(RADIANS(E34)))))</f>
        <v>65.062000773414383</v>
      </c>
      <c r="G34" s="30">
        <f>90-ABS($B$3-$F$4)</f>
        <v>85.873474370546234</v>
      </c>
    </row>
    <row r="35" spans="1:7" ht="14.25" customHeight="1" x14ac:dyDescent="0.3">
      <c r="A35" s="5">
        <v>2</v>
      </c>
      <c r="B35" s="21">
        <f>B34+$B$31</f>
        <v>6.6138664114515784</v>
      </c>
      <c r="C35" s="22" t="str">
        <f>TEXT(B35/24,"hh:mm")</f>
        <v>06:36</v>
      </c>
      <c r="D35" s="23">
        <f>(B35-12)*15</f>
        <v>-80.792003828226328</v>
      </c>
      <c r="E35" s="24">
        <f t="shared" ref="E35:E45" si="5">DEGREES(ASIN(COS(RADIANS($B$3))*COS(RADIANS($F$4))*COS(RADIANS(D35))+SIN(RADIANS($B$3))*SIN(RADIANS($F$4))))</f>
        <v>15.674953703019709</v>
      </c>
      <c r="F35" s="23">
        <f t="shared" ref="F35:F45" si="6">DEGREES(ACOS((SIN(RADIANS($F$4))-SIN(RADIANS($B$3))*SIN(RADIANS(E35)))/(COS(RADIANS($B$3))*COS(RADIANS(E35)))))</f>
        <v>70.150936645112424</v>
      </c>
    </row>
    <row r="36" spans="1:7" ht="14.25" customHeight="1" x14ac:dyDescent="0.3">
      <c r="A36" s="5">
        <v>3</v>
      </c>
      <c r="B36" s="21">
        <f>B35+$B$31</f>
        <v>7.8107849866845616</v>
      </c>
      <c r="C36" s="22" t="str">
        <f>TEXT(B36/24,"hh:mm")</f>
        <v>07:48</v>
      </c>
      <c r="D36" s="23">
        <f>(B36-12)*15</f>
        <v>-62.838225199731575</v>
      </c>
      <c r="E36" s="24">
        <f t="shared" si="5"/>
        <v>31.794013148138518</v>
      </c>
      <c r="F36" s="23">
        <f t="shared" si="6"/>
        <v>73.814268378305911</v>
      </c>
    </row>
    <row r="37" spans="1:7" ht="14.25" customHeight="1" x14ac:dyDescent="0.3">
      <c r="A37" s="5">
        <v>4</v>
      </c>
      <c r="B37" s="21">
        <f>B36+$B$31</f>
        <v>9.0077035619175447</v>
      </c>
      <c r="C37" s="22" t="str">
        <f>TEXT(B37/24,"hh:mm")</f>
        <v>09:00</v>
      </c>
      <c r="D37" s="23">
        <f>(B37-12)*15</f>
        <v>-44.884446571236829</v>
      </c>
      <c r="E37" s="24">
        <f t="shared" si="5"/>
        <v>48.164567452879467</v>
      </c>
      <c r="F37" s="23">
        <f t="shared" si="6"/>
        <v>76.082549996004616</v>
      </c>
    </row>
    <row r="38" spans="1:7" ht="14.25" customHeight="1" x14ac:dyDescent="0.3">
      <c r="A38" s="5">
        <v>5</v>
      </c>
      <c r="B38" s="21">
        <f>B37+$B$31</f>
        <v>10.204622137150528</v>
      </c>
      <c r="C38" s="22" t="str">
        <f>TEXT(B38/24,"hh:mm")</f>
        <v>10:12</v>
      </c>
      <c r="D38" s="23">
        <f>(B38-12)*15</f>
        <v>-26.930667942742083</v>
      </c>
      <c r="E38" s="24">
        <f t="shared" si="5"/>
        <v>64.624638401978885</v>
      </c>
      <c r="F38" s="23">
        <f t="shared" si="6"/>
        <v>75.834553587756716</v>
      </c>
    </row>
    <row r="39" spans="1:7" ht="14.25" customHeight="1" x14ac:dyDescent="0.3">
      <c r="A39" s="5">
        <v>6</v>
      </c>
      <c r="B39" s="21">
        <f>B38+$B$31</f>
        <v>11.401540712383511</v>
      </c>
      <c r="C39" s="22" t="str">
        <f>TEXT(B39/24,"hh:mm")</f>
        <v>11:24</v>
      </c>
      <c r="D39" s="23">
        <f>(B39-12)*15</f>
        <v>-8.9768893142473338</v>
      </c>
      <c r="E39" s="24">
        <f t="shared" si="5"/>
        <v>80.681365416079984</v>
      </c>
      <c r="F39" s="23">
        <f t="shared" si="6"/>
        <v>62.137000130520448</v>
      </c>
    </row>
    <row r="40" spans="1:7" ht="14.25" customHeight="1" x14ac:dyDescent="0.3">
      <c r="A40" s="5">
        <v>7</v>
      </c>
      <c r="B40" s="21">
        <f>B39+$B$31</f>
        <v>12.598459287616494</v>
      </c>
      <c r="C40" s="22" t="str">
        <f>TEXT(B40/24,"hh:mm")</f>
        <v>12:35</v>
      </c>
      <c r="D40" s="23">
        <f>(B40-12)*15</f>
        <v>8.9768893142474138</v>
      </c>
      <c r="E40" s="24">
        <f t="shared" si="5"/>
        <v>80.681365416079913</v>
      </c>
      <c r="F40" s="23">
        <f t="shared" si="6"/>
        <v>62.137000130520597</v>
      </c>
    </row>
    <row r="41" spans="1:7" ht="14.25" customHeight="1" x14ac:dyDescent="0.3">
      <c r="A41" s="5">
        <v>8</v>
      </c>
      <c r="B41" s="21">
        <f>B40+$B$31</f>
        <v>13.795377862849477</v>
      </c>
      <c r="C41" s="22" t="str">
        <f>TEXT(B41/24,"hh:mm")</f>
        <v>13:47</v>
      </c>
      <c r="D41" s="23">
        <f>(B41-12)*15</f>
        <v>26.930667942742161</v>
      </c>
      <c r="E41" s="24">
        <f t="shared" si="5"/>
        <v>64.624638401978814</v>
      </c>
      <c r="F41" s="23">
        <f t="shared" si="6"/>
        <v>75.834553587756744</v>
      </c>
    </row>
    <row r="42" spans="1:7" ht="14.25" customHeight="1" x14ac:dyDescent="0.3">
      <c r="A42" s="5">
        <v>9</v>
      </c>
      <c r="B42" s="21">
        <f>B41+$B$31</f>
        <v>14.992296438082461</v>
      </c>
      <c r="C42" s="22" t="str">
        <f>TEXT(B42/24,"hh:mm")</f>
        <v>14:59</v>
      </c>
      <c r="D42" s="23">
        <f>(B42-12)*15</f>
        <v>44.884446571236907</v>
      </c>
      <c r="E42" s="24">
        <f t="shared" si="5"/>
        <v>48.164567452879396</v>
      </c>
      <c r="F42" s="23">
        <f t="shared" si="6"/>
        <v>76.082549996004602</v>
      </c>
    </row>
    <row r="43" spans="1:7" ht="14.25" customHeight="1" x14ac:dyDescent="0.3">
      <c r="A43" s="5">
        <v>10</v>
      </c>
      <c r="B43" s="21">
        <f>B42+$B$31</f>
        <v>16.189215013315444</v>
      </c>
      <c r="C43" s="22" t="str">
        <f>TEXT(B43/24,"hh:mm")</f>
        <v>16:11</v>
      </c>
      <c r="D43" s="23">
        <f>(B43-12)*15</f>
        <v>62.838225199731653</v>
      </c>
      <c r="E43" s="24">
        <f t="shared" si="5"/>
        <v>31.79401314813844</v>
      </c>
      <c r="F43" s="23">
        <f t="shared" si="6"/>
        <v>73.814268378305883</v>
      </c>
    </row>
    <row r="44" spans="1:7" ht="14.25" customHeight="1" x14ac:dyDescent="0.3">
      <c r="A44" s="5">
        <v>11</v>
      </c>
      <c r="B44" s="21">
        <f>B43+$B$31</f>
        <v>17.386133588548425</v>
      </c>
      <c r="C44" s="22" t="str">
        <f>TEXT(B44/24,"hh:mm")</f>
        <v>17:23</v>
      </c>
      <c r="D44" s="23">
        <f>(B44-12)*15</f>
        <v>80.79200382822637</v>
      </c>
      <c r="E44" s="24">
        <f t="shared" si="5"/>
        <v>15.674953703019677</v>
      </c>
      <c r="F44" s="23">
        <f t="shared" si="6"/>
        <v>70.150936645112409</v>
      </c>
    </row>
    <row r="45" spans="1:7" ht="14.25" customHeight="1" x14ac:dyDescent="0.3">
      <c r="A45" s="25">
        <v>12</v>
      </c>
      <c r="B45" s="26">
        <f>B44+$B$31</f>
        <v>18.583052163781407</v>
      </c>
      <c r="C45" s="27" t="str">
        <f>TEXT(B45/24,"hh:mm")</f>
        <v>18:34</v>
      </c>
      <c r="D45" s="28">
        <f>(B45-12)*15</f>
        <v>98.745782456721102</v>
      </c>
      <c r="E45" s="24">
        <f t="shared" si="5"/>
        <v>-2.0673605429512861E-14</v>
      </c>
      <c r="F45" s="23">
        <f t="shared" si="6"/>
        <v>65.062000773414368</v>
      </c>
    </row>
    <row r="46" spans="1:7" ht="14.25" customHeight="1" x14ac:dyDescent="0.3"/>
    <row r="47" spans="1:7" ht="14.25" customHeight="1" x14ac:dyDescent="0.3">
      <c r="A47" s="6" t="s">
        <v>7</v>
      </c>
      <c r="B47" s="31">
        <f>$H$5</f>
        <v>89.893860001976222</v>
      </c>
      <c r="C47" s="32" t="s">
        <v>18</v>
      </c>
      <c r="D47" s="1"/>
      <c r="E47" s="1"/>
      <c r="F47" s="1"/>
    </row>
    <row r="48" spans="1:7" ht="14.25" customHeight="1" x14ac:dyDescent="0.3">
      <c r="A48" s="3" t="s">
        <v>9</v>
      </c>
      <c r="B48" s="24">
        <f>(2*B47/15)/11</f>
        <v>1.0896225454784998</v>
      </c>
    </row>
    <row r="49" spans="1:7" ht="14.25" customHeight="1" x14ac:dyDescent="0.3"/>
    <row r="50" spans="1:7" ht="14.25" customHeight="1" x14ac:dyDescent="0.3">
      <c r="A50" s="4" t="s">
        <v>10</v>
      </c>
      <c r="B50" s="4" t="s">
        <v>11</v>
      </c>
      <c r="C50" s="4" t="s">
        <v>12</v>
      </c>
      <c r="D50" s="4" t="s">
        <v>13</v>
      </c>
      <c r="E50" s="4" t="s">
        <v>14</v>
      </c>
      <c r="F50" s="4" t="s">
        <v>15</v>
      </c>
      <c r="G50" s="29" t="s">
        <v>16</v>
      </c>
    </row>
    <row r="51" spans="1:7" ht="14.25" customHeight="1" x14ac:dyDescent="0.3">
      <c r="A51" s="5">
        <v>1</v>
      </c>
      <c r="B51" s="21">
        <f>12-($B$47/15)</f>
        <v>6.0070759998682517</v>
      </c>
      <c r="C51" s="22" t="str">
        <f>TEXT(B51/24,"hh:mm")</f>
        <v>06:00</v>
      </c>
      <c r="D51" s="23">
        <f>(B51-12)*15</f>
        <v>-89.893860001976222</v>
      </c>
      <c r="E51" s="24">
        <f>DEGREES(ASIN(COS(RADIANS($B$3))*COS(RADIANS($F$5))*COS(RADIANS(D51))+SIN(RADIANS($B$3))*SIN(RADIANS($F$5))))</f>
        <v>5.6902111098058231E-15</v>
      </c>
      <c r="F51" s="23">
        <f>DEGREES(ACOS((SIN(RADIANS($F$5))-SIN(RADIANS($B$3))*SIN(RADIANS(E51)))/(COS(RADIANS($B$3))*COS(RADIANS(E51)))))</f>
        <v>90.320813034428284</v>
      </c>
      <c r="G51" s="30">
        <f>90-ABS($B$3-$F$5)</f>
        <v>70.377253557041044</v>
      </c>
    </row>
    <row r="52" spans="1:7" ht="14.25" customHeight="1" x14ac:dyDescent="0.3">
      <c r="A52" s="5">
        <v>2</v>
      </c>
      <c r="B52" s="21">
        <f>B51+$B$48</f>
        <v>7.0966985453467517</v>
      </c>
      <c r="C52" s="22" t="str">
        <f>TEXT(B52/24,"hh:mm")</f>
        <v>07:05</v>
      </c>
      <c r="D52" s="23">
        <f>(B52-12)*15</f>
        <v>-73.549521819798727</v>
      </c>
      <c r="E52" s="24">
        <f t="shared" ref="E52:E62" si="7">DEGREES(ASIN(COS(RADIANS($B$3))*COS(RADIANS($F$5))*COS(RADIANS(D52))+SIN(RADIANS($B$3))*SIN(RADIANS($F$5))))</f>
        <v>15.39590055113586</v>
      </c>
      <c r="F52" s="23">
        <f t="shared" ref="F52:F62" si="8">DEGREES(ACOS((SIN(RADIANS($F$5))-SIN(RADIANS($B$3))*SIN(RADIANS(E52)))/(COS(RADIANS($B$3))*COS(RADIANS(E52)))))</f>
        <v>95.874416198460054</v>
      </c>
    </row>
    <row r="53" spans="1:7" ht="14.25" customHeight="1" x14ac:dyDescent="0.3">
      <c r="A53" s="5">
        <v>3</v>
      </c>
      <c r="B53" s="21">
        <f>B52+$B$48</f>
        <v>8.1863210908252508</v>
      </c>
      <c r="C53" s="22" t="str">
        <f>TEXT(B53/24,"hh:mm")</f>
        <v>08:11</v>
      </c>
      <c r="D53" s="23">
        <f>(B53-12)*15</f>
        <v>-57.205183637621239</v>
      </c>
      <c r="E53" s="24">
        <f t="shared" si="7"/>
        <v>30.622217659446225</v>
      </c>
      <c r="F53" s="23">
        <f t="shared" si="8"/>
        <v>102.35843052033545</v>
      </c>
    </row>
    <row r="54" spans="1:7" ht="14.25" customHeight="1" x14ac:dyDescent="0.3">
      <c r="A54" s="5">
        <v>4</v>
      </c>
      <c r="B54" s="21">
        <f>B53+$B$48</f>
        <v>9.2759436363037508</v>
      </c>
      <c r="C54" s="22" t="str">
        <f>TEXT(B54/24,"hh:mm")</f>
        <v>09:16</v>
      </c>
      <c r="D54" s="23">
        <f>(B54-12)*15</f>
        <v>-40.860845455443737</v>
      </c>
      <c r="E54" s="24">
        <f t="shared" si="7"/>
        <v>45.393953133938389</v>
      </c>
      <c r="F54" s="23">
        <f t="shared" si="8"/>
        <v>111.31007228070224</v>
      </c>
    </row>
    <row r="55" spans="1:7" ht="14.25" customHeight="1" x14ac:dyDescent="0.3">
      <c r="A55" s="5">
        <v>5</v>
      </c>
      <c r="B55" s="21">
        <f>B54+$B$48</f>
        <v>10.365566181782251</v>
      </c>
      <c r="C55" s="22" t="str">
        <f>TEXT(B55/24,"hh:mm")</f>
        <v>10:21</v>
      </c>
      <c r="D55" s="23">
        <f>(B55-12)*15</f>
        <v>-24.516507273266235</v>
      </c>
      <c r="E55" s="24">
        <f t="shared" si="7"/>
        <v>58.964093351247215</v>
      </c>
      <c r="F55" s="23">
        <f t="shared" si="8"/>
        <v>126.40629988263456</v>
      </c>
    </row>
    <row r="56" spans="1:7" ht="14.25" customHeight="1" x14ac:dyDescent="0.3">
      <c r="A56" s="5">
        <v>6</v>
      </c>
      <c r="B56" s="21">
        <f>B55+$B$48</f>
        <v>11.455188727260751</v>
      </c>
      <c r="C56" s="22" t="str">
        <f>TEXT(B56/24,"hh:mm")</f>
        <v>11:27</v>
      </c>
      <c r="D56" s="23">
        <f>(B56-12)*15</f>
        <v>-8.1721690910887368</v>
      </c>
      <c r="E56" s="24">
        <f t="shared" si="7"/>
        <v>68.802817695423443</v>
      </c>
      <c r="F56" s="23">
        <f t="shared" si="8"/>
        <v>156.85082347904492</v>
      </c>
    </row>
    <row r="57" spans="1:7" ht="14.25" customHeight="1" x14ac:dyDescent="0.3">
      <c r="A57" s="5">
        <v>7</v>
      </c>
      <c r="B57" s="21">
        <f>B56+$B$48</f>
        <v>12.544811272739251</v>
      </c>
      <c r="C57" s="22" t="str">
        <f>TEXT(B57/24,"hh:mm")</f>
        <v>12:32</v>
      </c>
      <c r="D57" s="23">
        <f>(B57-12)*15</f>
        <v>8.1721690910887634</v>
      </c>
      <c r="E57" s="24">
        <f t="shared" si="7"/>
        <v>68.802817695423428</v>
      </c>
      <c r="F57" s="23">
        <f t="shared" si="8"/>
        <v>156.85082347904483</v>
      </c>
    </row>
    <row r="58" spans="1:7" ht="14.25" customHeight="1" x14ac:dyDescent="0.3">
      <c r="A58" s="5">
        <v>8</v>
      </c>
      <c r="B58" s="21">
        <f>B57+$B$48</f>
        <v>13.634433818217751</v>
      </c>
      <c r="C58" s="22" t="str">
        <f>TEXT(B58/24,"hh:mm")</f>
        <v>13:38</v>
      </c>
      <c r="D58" s="23">
        <f>(B58-12)*15</f>
        <v>24.516507273266264</v>
      </c>
      <c r="E58" s="24">
        <f t="shared" si="7"/>
        <v>58.964093351247186</v>
      </c>
      <c r="F58" s="23">
        <f t="shared" si="8"/>
        <v>126.40629988263453</v>
      </c>
    </row>
    <row r="59" spans="1:7" ht="14.25" customHeight="1" x14ac:dyDescent="0.3">
      <c r="A59" s="5">
        <v>9</v>
      </c>
      <c r="B59" s="21">
        <f>B58+$B$48</f>
        <v>14.724056363696251</v>
      </c>
      <c r="C59" s="22" t="str">
        <f>TEXT(B59/24,"hh:mm")</f>
        <v>14:43</v>
      </c>
      <c r="D59" s="23">
        <f>(B59-12)*15</f>
        <v>40.860845455443766</v>
      </c>
      <c r="E59" s="24">
        <f t="shared" si="7"/>
        <v>45.393953133938361</v>
      </c>
      <c r="F59" s="23">
        <f t="shared" si="8"/>
        <v>111.31007228070223</v>
      </c>
    </row>
    <row r="60" spans="1:7" ht="14.25" customHeight="1" x14ac:dyDescent="0.3">
      <c r="A60" s="5">
        <v>10</v>
      </c>
      <c r="B60" s="21">
        <f>B59+$B$48</f>
        <v>15.813678909174751</v>
      </c>
      <c r="C60" s="22" t="str">
        <f>TEXT(B60/24,"hh:mm")</f>
        <v>15:48</v>
      </c>
      <c r="D60" s="23">
        <f>(B60-12)*15</f>
        <v>57.205183637621261</v>
      </c>
      <c r="E60" s="24">
        <f t="shared" si="7"/>
        <v>30.6222176594462</v>
      </c>
      <c r="F60" s="23">
        <f t="shared" si="8"/>
        <v>102.35843052033543</v>
      </c>
    </row>
    <row r="61" spans="1:7" ht="14.25" customHeight="1" x14ac:dyDescent="0.3">
      <c r="A61" s="5">
        <v>11</v>
      </c>
      <c r="B61" s="21">
        <f>B60+$B$48</f>
        <v>16.903301454653249</v>
      </c>
      <c r="C61" s="22" t="str">
        <f>TEXT(B61/24,"hh:mm")</f>
        <v>16:54</v>
      </c>
      <c r="D61" s="23">
        <f>(B61-12)*15</f>
        <v>73.549521819798741</v>
      </c>
      <c r="E61" s="24">
        <f t="shared" si="7"/>
        <v>15.395900551135849</v>
      </c>
      <c r="F61" s="23">
        <f t="shared" si="8"/>
        <v>95.874416198460054</v>
      </c>
    </row>
    <row r="62" spans="1:7" ht="14.25" customHeight="1" x14ac:dyDescent="0.3">
      <c r="A62" s="25">
        <v>12</v>
      </c>
      <c r="B62" s="26">
        <f>B61+$B$48</f>
        <v>17.992924000131747</v>
      </c>
      <c r="C62" s="27" t="str">
        <f>TEXT(B62/24,"hh:mm")</f>
        <v>17:59</v>
      </c>
      <c r="D62" s="28">
        <f>(B62-12)*15</f>
        <v>89.893860001976208</v>
      </c>
      <c r="E62" s="24">
        <f t="shared" si="7"/>
        <v>1.770425945736528E-14</v>
      </c>
      <c r="F62" s="23">
        <f t="shared" si="8"/>
        <v>90.320813034428298</v>
      </c>
    </row>
    <row r="63" spans="1:7" ht="14.25" customHeight="1" x14ac:dyDescent="0.3"/>
    <row r="64" spans="1:7" ht="14.25" customHeight="1" x14ac:dyDescent="0.3">
      <c r="A64" s="6" t="s">
        <v>7</v>
      </c>
      <c r="B64" s="31">
        <f>$H$6</f>
        <v>81.253119368894346</v>
      </c>
      <c r="C64" s="32" t="s">
        <v>19</v>
      </c>
      <c r="D64" s="1"/>
      <c r="E64" s="1"/>
      <c r="F64" s="1"/>
    </row>
    <row r="65" spans="1:7" ht="14.25" customHeight="1" x14ac:dyDescent="0.3">
      <c r="A65" s="3" t="s">
        <v>9</v>
      </c>
      <c r="B65" s="24">
        <f>(2*B64/15)/11</f>
        <v>0.9848862953805374</v>
      </c>
    </row>
    <row r="66" spans="1:7" ht="14.25" customHeight="1" x14ac:dyDescent="0.3"/>
    <row r="67" spans="1:7" ht="14.25" customHeight="1" x14ac:dyDescent="0.3">
      <c r="A67" s="4" t="s">
        <v>10</v>
      </c>
      <c r="B67" s="4" t="s">
        <v>11</v>
      </c>
      <c r="C67" s="4" t="s">
        <v>12</v>
      </c>
      <c r="D67" s="4" t="s">
        <v>13</v>
      </c>
      <c r="E67" s="4" t="s">
        <v>14</v>
      </c>
      <c r="F67" s="4" t="s">
        <v>15</v>
      </c>
      <c r="G67" s="29" t="s">
        <v>16</v>
      </c>
    </row>
    <row r="68" spans="1:7" ht="14.25" customHeight="1" x14ac:dyDescent="0.3">
      <c r="A68" s="5">
        <v>1</v>
      </c>
      <c r="B68" s="21">
        <f>12-($B$64/15)</f>
        <v>6.583125375407044</v>
      </c>
      <c r="C68" s="22" t="str">
        <f>TEXT(B68/24,"hh:mm")</f>
        <v>06:34</v>
      </c>
      <c r="D68" s="23">
        <f>(B68-12)*15</f>
        <v>-81.253119368894346</v>
      </c>
      <c r="E68" s="24">
        <f>DEGREES(ASIN(COS(RADIANS($B$3))*COS(RADIANS($F$6))*COS(RADIANS(D68))+SIN(RADIANS($B$3))*SIN(RADIANS($F$6))))</f>
        <v>0</v>
      </c>
      <c r="F68" s="23">
        <f>DEGREES(ACOS((SIN(RADIANS($F$6))-SIN(RADIANS($B$3))*SIN(RADIANS(E68)))/(COS(RADIANS($B$3))*COS(RADIANS(E68)))))</f>
        <v>114.94079297517392</v>
      </c>
      <c r="G68" s="30">
        <f>90-ABS($B$3-$F$6)</f>
        <v>47.230868608723569</v>
      </c>
    </row>
    <row r="69" spans="1:7" ht="14.25" customHeight="1" x14ac:dyDescent="0.3">
      <c r="A69" s="5">
        <v>2</v>
      </c>
      <c r="B69" s="21">
        <f>B68+$B$65</f>
        <v>7.5680116707875813</v>
      </c>
      <c r="C69" s="22" t="str">
        <f>TEXT(B69/24,"hh:mm")</f>
        <v>07:34</v>
      </c>
      <c r="D69" s="23">
        <f>(B69-12)*15</f>
        <v>-66.479824938186283</v>
      </c>
      <c r="E69" s="24">
        <f t="shared" ref="E69:E79" si="9">DEGREES(ASIN(COS(RADIANS($B$3))*COS(RADIANS($F$6))*COS(RADIANS(D69))+SIN(RADIANS($B$3))*SIN(RADIANS($F$6))))</f>
        <v>12.347618119561391</v>
      </c>
      <c r="F69" s="23">
        <f t="shared" ref="F69:F79" si="10">DEGREES(ACOS((SIN(RADIANS($F$6))-SIN(RADIANS($B$3))*SIN(RADIANS(E69)))/(COS(RADIANS($B$3))*COS(RADIANS(E69)))))</f>
        <v>120.55813305599611</v>
      </c>
    </row>
    <row r="70" spans="1:7" ht="14.25" customHeight="1" x14ac:dyDescent="0.3">
      <c r="A70" s="5">
        <v>3</v>
      </c>
      <c r="B70" s="21">
        <f>B69+$B$65</f>
        <v>8.5528979661681195</v>
      </c>
      <c r="C70" s="22" t="str">
        <f>TEXT(B70/24,"hh:mm")</f>
        <v>08:33</v>
      </c>
      <c r="D70" s="23">
        <f>(B70-12)*15</f>
        <v>-51.706530507478206</v>
      </c>
      <c r="E70" s="24">
        <f t="shared" si="9"/>
        <v>23.881229242809084</v>
      </c>
      <c r="F70" s="23">
        <f t="shared" si="10"/>
        <v>128.0525960456485</v>
      </c>
    </row>
    <row r="71" spans="1:7" ht="14.25" customHeight="1" x14ac:dyDescent="0.3">
      <c r="A71" s="5">
        <v>4</v>
      </c>
      <c r="B71" s="21">
        <f>B70+$B$65</f>
        <v>9.5377842615486568</v>
      </c>
      <c r="C71" s="22" t="str">
        <f>TEXT(B71/24,"hh:mm")</f>
        <v>09:32</v>
      </c>
      <c r="D71" s="23">
        <f>(B71-12)*15</f>
        <v>-36.93323607677015</v>
      </c>
      <c r="E71" s="24">
        <f t="shared" si="9"/>
        <v>34.081468781496277</v>
      </c>
      <c r="F71" s="23">
        <f t="shared" si="10"/>
        <v>138.27333186335096</v>
      </c>
    </row>
    <row r="72" spans="1:7" ht="14.25" customHeight="1" x14ac:dyDescent="0.3">
      <c r="A72" s="5">
        <v>5</v>
      </c>
      <c r="B72" s="21">
        <f>B71+$B$65</f>
        <v>10.522670556929194</v>
      </c>
      <c r="C72" s="22" t="str">
        <f>TEXT(B72/24,"hh:mm")</f>
        <v>10:31</v>
      </c>
      <c r="D72" s="23">
        <f>(B72-12)*15</f>
        <v>-22.159941646062087</v>
      </c>
      <c r="E72" s="24">
        <f t="shared" si="9"/>
        <v>42.07839394746857</v>
      </c>
      <c r="F72" s="23">
        <f t="shared" si="10"/>
        <v>152.2107442239969</v>
      </c>
    </row>
    <row r="73" spans="1:7" ht="14.25" customHeight="1" x14ac:dyDescent="0.3">
      <c r="A73" s="5">
        <v>6</v>
      </c>
      <c r="B73" s="21">
        <f>B72+$B$65</f>
        <v>11.507556852309731</v>
      </c>
      <c r="C73" s="22" t="str">
        <f>TEXT(B73/24,"hh:mm")</f>
        <v>11:30</v>
      </c>
      <c r="D73" s="23">
        <f>(B73-12)*15</f>
        <v>-7.3866472153540297</v>
      </c>
      <c r="E73" s="24">
        <f t="shared" si="9"/>
        <v>46.628060551969476</v>
      </c>
      <c r="F73" s="23">
        <f t="shared" si="10"/>
        <v>170.11035966585837</v>
      </c>
    </row>
    <row r="74" spans="1:7" ht="14.25" customHeight="1" x14ac:dyDescent="0.3">
      <c r="A74" s="5">
        <v>7</v>
      </c>
      <c r="B74" s="21">
        <f>B73+$B$65</f>
        <v>12.492443147690269</v>
      </c>
      <c r="C74" s="22" t="str">
        <f>TEXT(B74/24,"hh:mm")</f>
        <v>12:29</v>
      </c>
      <c r="D74" s="23">
        <f>(B74-12)*15</f>
        <v>7.3866472153540297</v>
      </c>
      <c r="E74" s="24">
        <f t="shared" si="9"/>
        <v>46.628060551969476</v>
      </c>
      <c r="F74" s="23">
        <f t="shared" si="10"/>
        <v>170.11035966585837</v>
      </c>
    </row>
    <row r="75" spans="1:7" ht="14.25" customHeight="1" x14ac:dyDescent="0.3">
      <c r="A75" s="5">
        <v>8</v>
      </c>
      <c r="B75" s="21">
        <f>B74+$B$65</f>
        <v>13.477329443070806</v>
      </c>
      <c r="C75" s="22" t="str">
        <f>TEXT(B75/24,"hh:mm")</f>
        <v>13:28</v>
      </c>
      <c r="D75" s="23">
        <f>(B75-12)*15</f>
        <v>22.159941646062087</v>
      </c>
      <c r="E75" s="24">
        <f t="shared" si="9"/>
        <v>42.07839394746857</v>
      </c>
      <c r="F75" s="23">
        <f t="shared" si="10"/>
        <v>152.2107442239969</v>
      </c>
    </row>
    <row r="76" spans="1:7" ht="14.25" customHeight="1" x14ac:dyDescent="0.3">
      <c r="A76" s="5">
        <v>9</v>
      </c>
      <c r="B76" s="21">
        <f>B75+$B$65</f>
        <v>14.462215738451343</v>
      </c>
      <c r="C76" s="22" t="str">
        <f>TEXT(B76/24,"hh:mm")</f>
        <v>14:27</v>
      </c>
      <c r="D76" s="23">
        <f>(B76-12)*15</f>
        <v>36.93323607677015</v>
      </c>
      <c r="E76" s="24">
        <f t="shared" si="9"/>
        <v>34.081468781496277</v>
      </c>
      <c r="F76" s="23">
        <f t="shared" si="10"/>
        <v>138.27333186335096</v>
      </c>
    </row>
    <row r="77" spans="1:7" ht="14.25" customHeight="1" x14ac:dyDescent="0.3">
      <c r="A77" s="5">
        <v>10</v>
      </c>
      <c r="B77" s="21">
        <f>B76+$B$65</f>
        <v>15.447102033831881</v>
      </c>
      <c r="C77" s="22" t="str">
        <f>TEXT(B77/24,"hh:mm")</f>
        <v>15:26</v>
      </c>
      <c r="D77" s="23">
        <f>(B77-12)*15</f>
        <v>51.706530507478206</v>
      </c>
      <c r="E77" s="24">
        <f t="shared" si="9"/>
        <v>23.881229242809084</v>
      </c>
      <c r="F77" s="23">
        <f t="shared" si="10"/>
        <v>128.0525960456485</v>
      </c>
    </row>
    <row r="78" spans="1:7" ht="14.25" customHeight="1" x14ac:dyDescent="0.3">
      <c r="A78" s="5">
        <v>11</v>
      </c>
      <c r="B78" s="21">
        <f>B77+$B$65</f>
        <v>16.43198832921242</v>
      </c>
      <c r="C78" s="22" t="str">
        <f>TEXT(B78/24,"hh:mm")</f>
        <v>16:25</v>
      </c>
      <c r="D78" s="23">
        <f>(B78-12)*15</f>
        <v>66.479824938186297</v>
      </c>
      <c r="E78" s="24">
        <f t="shared" si="9"/>
        <v>12.347618119561378</v>
      </c>
      <c r="F78" s="23">
        <f t="shared" si="10"/>
        <v>120.55813305599611</v>
      </c>
    </row>
    <row r="79" spans="1:7" ht="14.25" customHeight="1" x14ac:dyDescent="0.3">
      <c r="A79" s="25">
        <v>12</v>
      </c>
      <c r="B79" s="26">
        <f>B78+$B$65</f>
        <v>17.416874624592957</v>
      </c>
      <c r="C79" s="27" t="str">
        <f>TEXT(B79/24,"hh:mm")</f>
        <v>17:25</v>
      </c>
      <c r="D79" s="28">
        <f>(B79-12)*15</f>
        <v>81.253119368894346</v>
      </c>
      <c r="E79" s="24">
        <f t="shared" si="9"/>
        <v>0</v>
      </c>
      <c r="F79" s="23">
        <f t="shared" si="10"/>
        <v>114.94079297517392</v>
      </c>
    </row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</sheetData>
  <mergeCells count="4">
    <mergeCell ref="A1:B1"/>
    <mergeCell ref="A5:C5"/>
    <mergeCell ref="E1:H1"/>
    <mergeCell ref="E8:F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Baja California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KATALINA HUERTAS PORTILLO</dc:creator>
  <cp:lastModifiedBy>Camilo Andres Hernandez</cp:lastModifiedBy>
  <dcterms:created xsi:type="dcterms:W3CDTF">2026-04-07T16:46:41Z</dcterms:created>
  <dcterms:modified xsi:type="dcterms:W3CDTF">2026-06-04T18:38:31Z</dcterms:modified>
</cp:coreProperties>
</file>